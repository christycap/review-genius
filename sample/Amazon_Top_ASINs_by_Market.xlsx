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aly Top 20" sheetId="2" state="visible" r:id="rId4"/>
    <sheet name="Spain Top 20" sheetId="3" state="visible" r:id="rId5"/>
    <sheet name="France Top 20" sheetId="4" state="visible" r:id="rId6"/>
    <sheet name="Other Mark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<sst xmlns="http://schemas.openxmlformats.org/spreadsheetml/2006/main" count="240" uniqueCount="174">
  <si>
    <t xml:space="preserve">Amazon ASIN Performance by Market</t>
  </si>
  <si>
    <t xml:space="preserve">Rolling 6 months: 11 Feb 2026 to 11 Aug 2026 | Ranked by Business Volume (BV), Euro</t>
  </si>
  <si>
    <t xml:space="preserve">Source: Online Cube (SSAS) - Online Sales, filtered to Source Category = Amazon Vendor Sales / Amazon Marketplace</t>
  </si>
  <si>
    <t xml:space="preserve">Market</t>
  </si>
  <si>
    <t xml:space="preserve">Channel</t>
  </si>
  <si>
    <t xml:space="preserve">BV (EUR)</t>
  </si>
  <si>
    <t xml:space="preserve">Orders</t>
  </si>
  <si>
    <t xml:space="preserve">AOV (EUR)</t>
  </si>
  <si>
    <t xml:space="preserve">Italy</t>
  </si>
  <si>
    <t xml:space="preserve">Amazon Vendor Sales</t>
  </si>
  <si>
    <t xml:space="preserve">Spain</t>
  </si>
  <si>
    <t xml:space="preserve">France</t>
  </si>
  <si>
    <t xml:space="preserve">Amazon Marketplace</t>
  </si>
  <si>
    <t xml:space="preserve">Unclassified</t>
  </si>
  <si>
    <t xml:space="preserve">Belgium</t>
  </si>
  <si>
    <t xml:space="preserve">Germany</t>
  </si>
  <si>
    <t xml:space="preserve">Netherlands</t>
  </si>
  <si>
    <t xml:space="preserve">Total</t>
  </si>
  <si>
    <t xml:space="preserve">Market totals (all Amazon channels combined)</t>
  </si>
  <si>
    <t xml:space="preserve">% of Total Amazon BV</t>
  </si>
  <si>
    <t xml:space="preserve">Notes</t>
  </si>
  <si>
    <t xml:space="preserve">- BV (Business Volume) is gross sales value in Euro before Amazon commission and account management fees.</t>
  </si>
  <si>
    <t xml:space="preserve">- "Unclassified" covers Amazon Vendor sales lines where Product Country Code is not populated. Worth a data quality follow up, not shown in the per-market top 20 tabs.</t>
  </si>
  <si>
    <t xml:space="preserve">- Germany, Belgium and Netherlands are early-stage Amazon markets with fewer than 20 ASINs sold in the period, so their ASINs are combined on one tab.</t>
  </si>
  <si>
    <t xml:space="preserve">Italy - Top ASINs by Business Volume</t>
  </si>
  <si>
    <t xml:space="preserve">Rolling 6 months: 11 Feb 2026 to 11 Aug 2026</t>
  </si>
  <si>
    <t xml:space="preserve">Rank</t>
  </si>
  <si>
    <t xml:space="preserve">ASIN</t>
  </si>
  <si>
    <t xml:space="preserve">Product Name</t>
  </si>
  <si>
    <t xml:space="preserve">Units Sold</t>
  </si>
  <si>
    <t xml:space="preserve">% of Market BV</t>
  </si>
  <si>
    <t xml:space="preserve">B07X5BWRFB</t>
  </si>
  <si>
    <t xml:space="preserve">MILLE E UNA NOTTE DI MAGIA</t>
  </si>
  <si>
    <t xml:space="preserve">B07X24TCCH</t>
  </si>
  <si>
    <t xml:space="preserve">3 GIORNI D'EVASIONE E 2 CENE</t>
  </si>
  <si>
    <t xml:space="preserve">B07X112NFP</t>
  </si>
  <si>
    <t xml:space="preserve">3 giorni in fuga in Europa</t>
  </si>
  <si>
    <t xml:space="preserve">B07X68CCQ7</t>
  </si>
  <si>
    <t xml:space="preserve">FUGA E RELAX*</t>
  </si>
  <si>
    <t xml:space="preserve">B07X113F8Z</t>
  </si>
  <si>
    <t xml:space="preserve">Felicita per due</t>
  </si>
  <si>
    <t xml:space="preserve">B07X34JRCV</t>
  </si>
  <si>
    <t xml:space="preserve">FUGA DI 3 GIORNI E 2 CENE*</t>
  </si>
  <si>
    <t xml:space="preserve">B07X5BWJ6S</t>
  </si>
  <si>
    <t xml:space="preserve">DIVERTIMENTO PER DUE</t>
  </si>
  <si>
    <t xml:space="preserve">B07X34HMH3</t>
  </si>
  <si>
    <t xml:space="preserve">MAGICHE EMOZIONI PER DUE</t>
  </si>
  <si>
    <t xml:space="preserve">B07X687DPK</t>
  </si>
  <si>
    <t xml:space="preserve">3 giorni d'incanto in Europa</t>
  </si>
  <si>
    <t xml:space="preserve">B07X34H2WY</t>
  </si>
  <si>
    <t xml:space="preserve">3 giorni da sogno</t>
  </si>
  <si>
    <t xml:space="preserve">B07X68BFN9</t>
  </si>
  <si>
    <t xml:space="preserve">MILLE E UNA NOTTE D'INCANTO</t>
  </si>
  <si>
    <t xml:space="preserve">B07X34HCWH</t>
  </si>
  <si>
    <t xml:space="preserve">MILLE E UNA NOTTE DI MERAVIGLIA</t>
  </si>
  <si>
    <t xml:space="preserve">B07X47QFSN</t>
  </si>
  <si>
    <t xml:space="preserve">Addio stress per due</t>
  </si>
  <si>
    <t xml:space="preserve">B07X34K7D4</t>
  </si>
  <si>
    <t xml:space="preserve">3 giorni con benessere</t>
  </si>
  <si>
    <t xml:space="preserve">B07X47P3MF</t>
  </si>
  <si>
    <t xml:space="preserve">MILLE E UNA NOTTE DA VIVERE*</t>
  </si>
  <si>
    <t xml:space="preserve">B07X5BVF7G</t>
  </si>
  <si>
    <t xml:space="preserve">Motori e passioni</t>
  </si>
  <si>
    <t xml:space="preserve">B0BJ2KTXT8</t>
  </si>
  <si>
    <t xml:space="preserve">BUON COMPLEANNO</t>
  </si>
  <si>
    <t xml:space="preserve">B07X34HMJ3</t>
  </si>
  <si>
    <t xml:space="preserve">FUGA DI 3 GIORNI**</t>
  </si>
  <si>
    <t xml:space="preserve">B07X687DQC</t>
  </si>
  <si>
    <t xml:space="preserve">3 giorni esclusivi in Europa</t>
  </si>
  <si>
    <t xml:space="preserve">B07X687DLB</t>
  </si>
  <si>
    <t xml:space="preserve">Peccati di gola</t>
  </si>
  <si>
    <t xml:space="preserve">Top-list total</t>
  </si>
  <si>
    <t xml:space="preserve">Spain - Top ASINs by Business Volume</t>
  </si>
  <si>
    <t xml:space="preserve">B07Z5LKT1Q</t>
  </si>
  <si>
    <t xml:space="preserve">SPA Y RELAX PARA DOS</t>
  </si>
  <si>
    <t xml:space="preserve">B07Z5L3369</t>
  </si>
  <si>
    <t xml:space="preserve">Mil y una noches de felicidad</t>
  </si>
  <si>
    <t xml:space="preserve">B07Z5LF3G3</t>
  </si>
  <si>
    <t xml:space="preserve">SPA Y MASAJE PARA DOS</t>
  </si>
  <si>
    <t xml:space="preserve">B07Z5LM72J</t>
  </si>
  <si>
    <t xml:space="preserve">ILUSIONES PARA DOS</t>
  </si>
  <si>
    <t xml:space="preserve">B07Z5LKRMF</t>
  </si>
  <si>
    <t xml:space="preserve">2 dias con encanto</t>
  </si>
  <si>
    <t xml:space="preserve">B07Z9TXBZF</t>
  </si>
  <si>
    <t xml:space="preserve">3 DIAS JUNTOS POR EUROPA</t>
  </si>
  <si>
    <t xml:space="preserve">B07Z5LB6Q1</t>
  </si>
  <si>
    <t xml:space="preserve">MIL Y UNA NOCHES DE DELICIA</t>
  </si>
  <si>
    <t xml:space="preserve">B07Z5L8VJL</t>
  </si>
  <si>
    <t xml:space="preserve">MIL Y UNA NOCHES DE ENSUENO</t>
  </si>
  <si>
    <t xml:space="preserve">B07Z5M6GRQ</t>
  </si>
  <si>
    <t xml:space="preserve">SELECCION MAGICA</t>
  </si>
  <si>
    <t xml:space="preserve">B07Z5LFB1F</t>
  </si>
  <si>
    <t xml:space="preserve">VINO Y TAPAS</t>
  </si>
  <si>
    <t xml:space="preserve">B07Z5LC8CB</t>
  </si>
  <si>
    <t xml:space="preserve">3 DIAS CON ENCANTO</t>
  </si>
  <si>
    <t xml:space="preserve">B07Z5LFPT6</t>
  </si>
  <si>
    <t xml:space="preserve">3 DIAS SPA &amp; RELAX</t>
  </si>
  <si>
    <t xml:space="preserve">B07Z5L333N</t>
  </si>
  <si>
    <t xml:space="preserve">FELIZ CUMPLEANOS</t>
  </si>
  <si>
    <t xml:space="preserve">B07Z5M6GP9</t>
  </si>
  <si>
    <t xml:space="preserve">ESCAPADA DELICIOSA</t>
  </si>
  <si>
    <t xml:space="preserve">B07Z5LFB23</t>
  </si>
  <si>
    <t xml:space="preserve">2 DIAS DE EVASION</t>
  </si>
  <si>
    <t xml:space="preserve">B08M3VTMCF</t>
  </si>
  <si>
    <t xml:space="preserve">ESTANCIAS PREMIUM</t>
  </si>
  <si>
    <t xml:space="preserve">B08M3LLFHQ</t>
  </si>
  <si>
    <t xml:space="preserve">1 noche con desayuno en un hotel de 4*</t>
  </si>
  <si>
    <t xml:space="preserve">B07Z5LBN3T</t>
  </si>
  <si>
    <t xml:space="preserve">Felicidad para dos</t>
  </si>
  <si>
    <t xml:space="preserve">B07Z5LKRNS</t>
  </si>
  <si>
    <t xml:space="preserve">EMOCIONES PARA DOS</t>
  </si>
  <si>
    <t xml:space="preserve">B07Z9V4BXG</t>
  </si>
  <si>
    <t xml:space="preserve">3 DIAS EN FAMILIA</t>
  </si>
  <si>
    <t xml:space="preserve">France - Top ASINs by Business Volume</t>
  </si>
  <si>
    <t xml:space="preserve">B07WR8JKKP</t>
  </si>
  <si>
    <t xml:space="preserve">Sejour insolite en duo</t>
  </si>
  <si>
    <t xml:space="preserve">B07WNHC2DP</t>
  </si>
  <si>
    <t xml:space="preserve">Week-end gourmand en amoureux</t>
  </si>
  <si>
    <t xml:space="preserve">B08L7QXTNL</t>
  </si>
  <si>
    <t xml:space="preserve">Week-end evasion en amoureux</t>
  </si>
  <si>
    <t xml:space="preserve">B07WNH9HKL</t>
  </si>
  <si>
    <t xml:space="preserve">Detente absolue</t>
  </si>
  <si>
    <t xml:space="preserve">B08L7SJCJ8</t>
  </si>
  <si>
    <t xml:space="preserve">Romance en Europe : 1 nuit pour 2 personnes</t>
  </si>
  <si>
    <t xml:space="preserve">B07WQWQ82H</t>
  </si>
  <si>
    <t xml:space="preserve">Joyeux anniversaire</t>
  </si>
  <si>
    <t xml:space="preserve">B07WNHCPJV</t>
  </si>
  <si>
    <t xml:space="preserve">Mille &amp; une nuits de reve</t>
  </si>
  <si>
    <t xml:space="preserve">B07WS91JZ6</t>
  </si>
  <si>
    <t xml:space="preserve">3 jours de reve en amoureux</t>
  </si>
  <si>
    <t xml:space="preserve">B07WR9VHWN</t>
  </si>
  <si>
    <t xml:space="preserve">Bien-etre et Soins Relaxants</t>
  </si>
  <si>
    <t xml:space="preserve">B07WNH91DM</t>
  </si>
  <si>
    <t xml:space="preserve">EVASION A DEUX</t>
  </si>
  <si>
    <t xml:space="preserve">B07WS8LCZ1</t>
  </si>
  <si>
    <t xml:space="preserve">WEEK-END GOURMAND ET SPA</t>
  </si>
  <si>
    <t xml:space="preserve">B07WNH8PVT</t>
  </si>
  <si>
    <t xml:space="preserve">B07WQWPTZC</t>
  </si>
  <si>
    <t xml:space="preserve">Sensations et Aventures</t>
  </si>
  <si>
    <t xml:space="preserve">B07WRBFYNF</t>
  </si>
  <si>
    <t xml:space="preserve">Pilotage et frissons</t>
  </si>
  <si>
    <t xml:space="preserve">B0CHMVKW52</t>
  </si>
  <si>
    <t xml:space="preserve">Escapade nature &amp; randonnee</t>
  </si>
  <si>
    <t xml:space="preserve">B07WNH8MYL</t>
  </si>
  <si>
    <t xml:space="preserve">Tables etoilees Michelin et tables d'excellence</t>
  </si>
  <si>
    <t xml:space="preserve">B07WS9LLXG</t>
  </si>
  <si>
    <t xml:space="preserve">Tables de chefs</t>
  </si>
  <si>
    <t xml:space="preserve">B07WS8RJX4</t>
  </si>
  <si>
    <t xml:space="preserve">Bistrots et delices</t>
  </si>
  <si>
    <t xml:space="preserve">B0C6TZXNHS</t>
  </si>
  <si>
    <t xml:space="preserve">Vive les maries !</t>
  </si>
  <si>
    <t xml:space="preserve">B08L7TRBV6</t>
  </si>
  <si>
    <t xml:space="preserve">Sejour d'1 nuit pour 2 personnes en chambre d'hotes ou en gite</t>
  </si>
  <si>
    <t xml:space="preserve">Germany, Belgium, Netherlands - All ASINs Sold</t>
  </si>
  <si>
    <t xml:space="preserve">Rolling 6 months: 11 Feb 2026 to 11 Aug 2026 | Fewer than 20 ASINs sold in each of these early-stage markets</t>
  </si>
  <si>
    <t xml:space="preserve">B0CL1RRFJX</t>
  </si>
  <si>
    <t xml:space="preserve">Kurzurlaub in Europa: 2 Naechte in einem Hotel</t>
  </si>
  <si>
    <t xml:space="preserve">B0C4BJGCJ9</t>
  </si>
  <si>
    <t xml:space="preserve">B0C4BKVJP3</t>
  </si>
  <si>
    <t xml:space="preserve">Bien-etre d'exception en duo</t>
  </si>
  <si>
    <t xml:space="preserve">B0C4BJS8QG</t>
  </si>
  <si>
    <t xml:space="preserve">Week-end Bien-etre</t>
  </si>
  <si>
    <t xml:space="preserve">B0CJPL6H32</t>
  </si>
  <si>
    <t xml:space="preserve">Romantischer Aufenthalt fuer 2 in den Niederlanden</t>
  </si>
  <si>
    <t xml:space="preserve">B0CJPLB5FQ</t>
  </si>
  <si>
    <t xml:space="preserve">1-stuendige Alpakawanderung fuer 2 Personen</t>
  </si>
  <si>
    <t xml:space="preserve">B0CL1L96ZC</t>
  </si>
  <si>
    <t xml:space="preserve">2 nights for 2 people</t>
  </si>
  <si>
    <t xml:space="preserve">B0CJPL44Y9</t>
  </si>
  <si>
    <t xml:space="preserve">Kurzurlaub in Deutschland fuer 2 Personen mit Ihrem treuen Begleiter</t>
  </si>
  <si>
    <t xml:space="preserve">B0875SVBCX</t>
  </si>
  <si>
    <t xml:space="preserve">Lunch voor Twee</t>
  </si>
  <si>
    <t xml:space="preserve">B0875ZLKGV</t>
  </si>
  <si>
    <t xml:space="preserve">CADEAUBON 29.9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</si>
</sst>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n">
        <v>2612103.8</v>
      </c>
      <c r="D6" s="4" t="n">
        <v>9448</v>
      </c>
      <c r="E6" s="5" t="n">
        <f aca="false">IFERROR(C6/D6,0)</f>
        <v>276.471613039797</v>
      </c>
    </row>
    <row r="7" customFormat="false" ht="15" hidden="false" customHeight="false" outlineLevel="0" collapsed="false">
      <c r="A7" s="4" t="s">
        <v>10</v>
      </c>
      <c r="B7" s="4" t="s">
        <v>9</v>
      </c>
      <c r="C7" s="5" t="n">
        <v>1480871.1</v>
      </c>
      <c r="D7" s="4" t="n">
        <v>6770</v>
      </c>
      <c r="E7" s="5" t="n">
        <f aca="false">IFERROR(C7/D7,0)</f>
        <v>218.740192023634</v>
      </c>
    </row>
    <row r="8" customFormat="false" ht="15" hidden="false" customHeight="false" outlineLevel="0" collapsed="false">
      <c r="A8" s="4" t="s">
        <v>11</v>
      </c>
      <c r="B8" s="4" t="s">
        <v>9</v>
      </c>
      <c r="C8" s="5" t="n">
        <v>397362.8</v>
      </c>
      <c r="D8" s="4" t="n">
        <v>3563</v>
      </c>
      <c r="E8" s="5" t="n">
        <f aca="false">IFERROR(C8/D8,0)</f>
        <v>111.524782486669</v>
      </c>
    </row>
    <row r="9" customFormat="false" ht="15" hidden="false" customHeight="false" outlineLevel="0" collapsed="false">
      <c r="A9" s="4" t="s">
        <v>8</v>
      </c>
      <c r="B9" s="4" t="s">
        <v>12</v>
      </c>
      <c r="C9" s="5" t="n">
        <v>118252.8</v>
      </c>
      <c r="D9" s="4" t="n">
        <v>1088</v>
      </c>
      <c r="E9" s="5" t="n">
        <f aca="false">IFERROR(C9/D9,0)</f>
        <v>108.688235294118</v>
      </c>
    </row>
    <row r="10" customFormat="false" ht="15" hidden="false" customHeight="false" outlineLevel="0" collapsed="false">
      <c r="A10" s="4" t="s">
        <v>13</v>
      </c>
      <c r="B10" s="4" t="s">
        <v>9</v>
      </c>
      <c r="C10" s="5" t="n">
        <v>64291.33</v>
      </c>
      <c r="D10" s="4" t="n">
        <v>381</v>
      </c>
      <c r="E10" s="5" t="n">
        <f aca="false">IFERROR(C10/D10,0)</f>
        <v>168.743648293963</v>
      </c>
    </row>
    <row r="11" customFormat="false" ht="15" hidden="false" customHeight="false" outlineLevel="0" collapsed="false">
      <c r="A11" s="4" t="s">
        <v>10</v>
      </c>
      <c r="B11" s="4" t="s">
        <v>12</v>
      </c>
      <c r="C11" s="5" t="n">
        <v>26496.3</v>
      </c>
      <c r="D11" s="4" t="n">
        <v>366</v>
      </c>
      <c r="E11" s="5" t="n">
        <f aca="false">IFERROR(C11/D11,0)</f>
        <v>72.394262295082</v>
      </c>
    </row>
    <row r="12" customFormat="false" ht="15" hidden="false" customHeight="false" outlineLevel="0" collapsed="false">
      <c r="A12" s="4" t="s">
        <v>14</v>
      </c>
      <c r="B12" s="4" t="s">
        <v>9</v>
      </c>
      <c r="C12" s="5" t="n">
        <v>5948.2</v>
      </c>
      <c r="D12" s="4" t="n">
        <v>56</v>
      </c>
      <c r="E12" s="5" t="n">
        <f aca="false">IFERROR(C12/D12,0)</f>
        <v>106.217857142857</v>
      </c>
    </row>
    <row r="13" customFormat="false" ht="15" hidden="false" customHeight="false" outlineLevel="0" collapsed="false">
      <c r="A13" s="4" t="s">
        <v>15</v>
      </c>
      <c r="B13" s="4" t="s">
        <v>9</v>
      </c>
      <c r="C13" s="5" t="n">
        <v>4386</v>
      </c>
      <c r="D13" s="4" t="n">
        <v>33</v>
      </c>
      <c r="E13" s="5" t="n">
        <f aca="false">IFERROR(C13/D13,0)</f>
        <v>132.909090909091</v>
      </c>
    </row>
    <row r="14" customFormat="false" ht="15" hidden="false" customHeight="false" outlineLevel="0" collapsed="false">
      <c r="A14" s="4" t="s">
        <v>11</v>
      </c>
      <c r="B14" s="4" t="s">
        <v>12</v>
      </c>
      <c r="C14" s="5" t="n">
        <v>839.6</v>
      </c>
      <c r="D14" s="4" t="n">
        <v>10</v>
      </c>
      <c r="E14" s="5" t="n">
        <f aca="false">IFERROR(C14/D14,0)</f>
        <v>83.96</v>
      </c>
    </row>
    <row r="15" customFormat="false" ht="15" hidden="false" customHeight="false" outlineLevel="0" collapsed="false">
      <c r="A15" s="4" t="s">
        <v>16</v>
      </c>
      <c r="B15" s="4" t="s">
        <v>9</v>
      </c>
      <c r="C15" s="5" t="n">
        <v>119.6</v>
      </c>
      <c r="D15" s="4" t="n">
        <v>5</v>
      </c>
      <c r="E15" s="5" t="n">
        <f aca="false">IFERROR(C15/D15,0)</f>
        <v>23.92</v>
      </c>
    </row>
    <row r="16" customFormat="false" ht="15" hidden="false" customHeight="false" outlineLevel="0" collapsed="false">
      <c r="A16" s="6" t="s">
        <v>17</v>
      </c>
      <c r="B16" s="6"/>
      <c r="C16" s="7" t="n">
        <f aca="false">SUM(C6:C15)</f>
        <v>4710671.53</v>
      </c>
      <c r="D16" s="6" t="n">
        <f aca="false">SUM(D6:D15)</f>
        <v>21720</v>
      </c>
      <c r="E16" s="7" t="n">
        <f aca="false">IFERROR(C16/D16,0)</f>
        <v>216.881746316759</v>
      </c>
    </row>
    <row r="19" customFormat="false" ht="15" hidden="false" customHeight="false" outlineLevel="0" collapsed="false">
      <c r="A19" s="8" t="s">
        <v>18</v>
      </c>
    </row>
    <row r="20" customFormat="false" ht="15" hidden="false" customHeight="false" outlineLevel="0" collapsed="false">
      <c r="A20" s="3" t="s">
        <v>3</v>
      </c>
      <c r="B20" s="3" t="s">
        <v>5</v>
      </c>
      <c r="C20" s="3" t="s">
        <v>6</v>
      </c>
      <c r="D20" s="3" t="s">
        <v>19</v>
      </c>
    </row>
    <row r="21" customFormat="false" ht="15" hidden="false" customHeight="false" outlineLevel="0" collapsed="false">
      <c r="A21" s="4" t="s">
        <v>8</v>
      </c>
      <c r="B21" s="5" t="n">
        <f aca="false">SUMIF($A$6:$A$15,A21,$C$6:$C$15)</f>
        <v>2730356.6</v>
      </c>
      <c r="C21" s="4" t="n">
        <f aca="false">SUMIF($A$6:$A$15,A21,$D$6:$D$15)</f>
        <v>10536</v>
      </c>
      <c r="D21" s="9" t="n">
        <f aca="false">IFERROR(B21/$C$16,0)</f>
        <v>0.57961090740708</v>
      </c>
    </row>
    <row r="22" customFormat="false" ht="15" hidden="false" customHeight="false" outlineLevel="0" collapsed="false">
      <c r="A22" s="4" t="s">
        <v>10</v>
      </c>
      <c r="B22" s="5" t="n">
        <f aca="false">SUMIF($A$6:$A$15,A22,$C$6:$C$15)</f>
        <v>1507367.4</v>
      </c>
      <c r="C22" s="4" t="n">
        <f aca="false">SUMIF($A$6:$A$15,A22,$D$6:$D$15)</f>
        <v>7136</v>
      </c>
      <c r="D22" s="9" t="n">
        <f aca="false">IFERROR(B22/$C$16,0)</f>
        <v>0.31998991871972</v>
      </c>
    </row>
    <row r="23" customFormat="false" ht="15" hidden="false" customHeight="false" outlineLevel="0" collapsed="false">
      <c r="A23" s="4" t="s">
        <v>11</v>
      </c>
      <c r="B23" s="5" t="n">
        <f aca="false">SUMIF($A$6:$A$15,A23,$C$6:$C$15)</f>
        <v>398202.4</v>
      </c>
      <c r="C23" s="4" t="n">
        <f aca="false">SUMIF($A$6:$A$15,A23,$D$6:$D$15)</f>
        <v>3573</v>
      </c>
      <c r="D23" s="9" t="n">
        <f aca="false">IFERROR(B23/$C$16,0)</f>
        <v>0.0845319817915642</v>
      </c>
    </row>
    <row r="24" customFormat="false" ht="15" hidden="false" customHeight="false" outlineLevel="0" collapsed="false">
      <c r="A24" s="4" t="s">
        <v>15</v>
      </c>
      <c r="B24" s="5" t="n">
        <f aca="false">SUMIF($A$6:$A$15,A24,$C$6:$C$15)</f>
        <v>4386</v>
      </c>
      <c r="C24" s="4" t="n">
        <f aca="false">SUMIF($A$6:$A$15,A24,$D$6:$D$15)</f>
        <v>33</v>
      </c>
      <c r="D24" s="9" t="n">
        <f aca="false">IFERROR(B24/$C$16,0)</f>
        <v>0.000931077442370515</v>
      </c>
    </row>
    <row r="25" customFormat="false" ht="15" hidden="false" customHeight="false" outlineLevel="0" collapsed="false">
      <c r="A25" s="4" t="s">
        <v>14</v>
      </c>
      <c r="B25" s="5" t="n">
        <f aca="false">SUMIF($A$6:$A$15,A25,$C$6:$C$15)</f>
        <v>5948.2</v>
      </c>
      <c r="C25" s="4" t="n">
        <f aca="false">SUMIF($A$6:$A$15,A25,$D$6:$D$15)</f>
        <v>56</v>
      </c>
      <c r="D25" s="9" t="n">
        <f aca="false">IFERROR(B25/$C$16,0)</f>
        <v>0.00126270744247795</v>
      </c>
    </row>
    <row r="26" customFormat="false" ht="15" hidden="false" customHeight="false" outlineLevel="0" collapsed="false">
      <c r="A26" s="4" t="s">
        <v>16</v>
      </c>
      <c r="B26" s="5" t="n">
        <f aca="false">SUMIF($A$6:$A$15,A26,$C$6:$C$15)</f>
        <v>119.6</v>
      </c>
      <c r="C26" s="4" t="n">
        <f aca="false">SUMIF($A$6:$A$15,A26,$D$6:$D$15)</f>
        <v>5</v>
      </c>
      <c r="D26" s="9" t="n">
        <f aca="false">IFERROR(B26/$C$16,0)</f>
        <v>2.53891614472215E-005</v>
      </c>
    </row>
    <row r="27" customFormat="false" ht="15" hidden="false" customHeight="false" outlineLevel="0" collapsed="false">
      <c r="A27" s="4" t="s">
        <v>13</v>
      </c>
      <c r="B27" s="5" t="n">
        <f aca="false">SUMIF($A$6:$A$15,A27,$C$6:$C$15)</f>
        <v>64291.33</v>
      </c>
      <c r="C27" s="4" t="n">
        <f aca="false">SUMIF($A$6:$A$15,A27,$D$6:$D$15)</f>
        <v>381</v>
      </c>
      <c r="D27" s="9" t="n">
        <f aca="false">IFERROR(B27/$C$16,0)</f>
        <v>0.0136480180353394</v>
      </c>
    </row>
    <row r="28" customFormat="false" ht="15" hidden="false" customHeight="false" outlineLevel="0" collapsed="false">
      <c r="A28" s="6" t="s">
        <v>17</v>
      </c>
      <c r="B28" s="7" t="n">
        <f aca="false">SUM(B21:B27)</f>
        <v>4710671.53</v>
      </c>
      <c r="C28" s="6" t="n">
        <f aca="false">SUM(C21:C27)</f>
        <v>21720</v>
      </c>
      <c r="D28" s="10" t="n">
        <f aca="false">IFERROR(B28/$C$16,0)</f>
        <v>1</v>
      </c>
    </row>
    <row r="31" customFormat="false" ht="15" hidden="false" customHeight="false" outlineLevel="0" collapsed="false">
      <c r="A31" s="8" t="s">
        <v>20</v>
      </c>
    </row>
    <row r="32" customFormat="false" ht="15" hidden="false" customHeight="false" outlineLevel="0" collapsed="false">
      <c r="A32" s="2" t="s">
        <v>21</v>
      </c>
    </row>
    <row r="33" customFormat="false" ht="15" hidden="false" customHeight="false" outlineLevel="0" collapsed="false">
      <c r="A33" s="2" t="s">
        <v>22</v>
      </c>
    </row>
    <row r="34" customFormat="false" ht="15" hidden="false" customHeight="false" outlineLevel="0" collapsed="false">
      <c r="A3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5</v>
      </c>
      <c r="E4" s="3" t="s">
        <v>29</v>
      </c>
      <c r="F4" s="3" t="s">
        <v>6</v>
      </c>
      <c r="G4" s="3" t="s">
        <v>7</v>
      </c>
      <c r="H4" s="3" t="s">
        <v>30</v>
      </c>
    </row>
    <row r="5" customFormat="false" ht="15" hidden="false" customHeight="false" outlineLevel="0" collapsed="false">
      <c r="A5" s="4" t="n">
        <v>1</v>
      </c>
      <c r="B5" s="4" t="s">
        <v>31</v>
      </c>
      <c r="C5" s="4" t="s">
        <v>32</v>
      </c>
      <c r="D5" s="5" t="n">
        <v>189310.5</v>
      </c>
      <c r="E5" s="4" t="n">
        <v>1895</v>
      </c>
      <c r="F5" s="4" t="n">
        <v>214</v>
      </c>
      <c r="G5" s="5" t="n">
        <f aca="false">IFERROR(D5/F5,0)</f>
        <v>884.628504672897</v>
      </c>
      <c r="H5" s="9" t="n">
        <f aca="false">IFERROR(D5/Summary!$B$21,0)</f>
        <v>0.0693354487102527</v>
      </c>
    </row>
    <row r="6" customFormat="false" ht="15" hidden="false" customHeight="false" outlineLevel="0" collapsed="false">
      <c r="A6" s="4" t="n">
        <v>2</v>
      </c>
      <c r="B6" s="4" t="s">
        <v>33</v>
      </c>
      <c r="C6" s="4" t="s">
        <v>34</v>
      </c>
      <c r="D6" s="5" t="n">
        <v>127364.6</v>
      </c>
      <c r="E6" s="4" t="n">
        <v>558</v>
      </c>
      <c r="F6" s="4" t="n">
        <v>186</v>
      </c>
      <c r="G6" s="5" t="n">
        <f aca="false">IFERROR(D6/F6,0)</f>
        <v>684.755913978495</v>
      </c>
      <c r="H6" s="9" t="n">
        <f aca="false">IFERROR(D6/Summary!$B$21,0)</f>
        <v>0.046647606396908</v>
      </c>
    </row>
    <row r="7" customFormat="false" ht="15" hidden="false" customHeight="false" outlineLevel="0" collapsed="false">
      <c r="A7" s="4" t="n">
        <v>3</v>
      </c>
      <c r="B7" s="4" t="s">
        <v>35</v>
      </c>
      <c r="C7" s="4" t="s">
        <v>36</v>
      </c>
      <c r="D7" s="5" t="n">
        <v>127094</v>
      </c>
      <c r="E7" s="4" t="n">
        <v>1063</v>
      </c>
      <c r="F7" s="4" t="n">
        <v>197</v>
      </c>
      <c r="G7" s="5" t="n">
        <f aca="false">IFERROR(D7/F7,0)</f>
        <v>645.147208121827</v>
      </c>
      <c r="H7" s="9" t="n">
        <f aca="false">IFERROR(D7/Summary!$B$21,0)</f>
        <v>0.046548498463534</v>
      </c>
    </row>
    <row r="8" customFormat="false" ht="15" hidden="false" customHeight="false" outlineLevel="0" collapsed="false">
      <c r="A8" s="4" t="n">
        <v>4</v>
      </c>
      <c r="B8" s="4" t="s">
        <v>37</v>
      </c>
      <c r="C8" s="4" t="s">
        <v>38</v>
      </c>
      <c r="D8" s="5" t="n">
        <v>108838.3</v>
      </c>
      <c r="E8" s="4" t="n">
        <v>1827</v>
      </c>
      <c r="F8" s="4" t="n">
        <v>197</v>
      </c>
      <c r="G8" s="5" t="n">
        <f aca="false">IFERROR(D8/F8,0)</f>
        <v>552.478680203046</v>
      </c>
      <c r="H8" s="9" t="n">
        <f aca="false">IFERROR(D8/Summary!$B$21,0)</f>
        <v>0.0398623022355395</v>
      </c>
    </row>
    <row r="9" customFormat="false" ht="15" hidden="false" customHeight="false" outlineLevel="0" collapsed="false">
      <c r="A9" s="4" t="n">
        <v>5</v>
      </c>
      <c r="B9" s="4" t="s">
        <v>39</v>
      </c>
      <c r="C9" s="4" t="s">
        <v>40</v>
      </c>
      <c r="D9" s="5" t="n">
        <v>97264.7</v>
      </c>
      <c r="E9" s="4" t="n">
        <v>3254</v>
      </c>
      <c r="F9" s="4" t="n">
        <v>208</v>
      </c>
      <c r="G9" s="5" t="n">
        <f aca="false">IFERROR(D9/F9,0)</f>
        <v>467.61875</v>
      </c>
      <c r="H9" s="9" t="n">
        <f aca="false">IFERROR(D9/Summary!$B$21,0)</f>
        <v>0.0356234420075385</v>
      </c>
    </row>
    <row r="10" customFormat="false" ht="15" hidden="false" customHeight="false" outlineLevel="0" collapsed="false">
      <c r="A10" s="4" t="n">
        <v>6</v>
      </c>
      <c r="B10" s="4" t="s">
        <v>41</v>
      </c>
      <c r="C10" s="4" t="s">
        <v>42</v>
      </c>
      <c r="D10" s="5" t="n">
        <v>93614.9</v>
      </c>
      <c r="E10" s="4" t="n">
        <v>551</v>
      </c>
      <c r="F10" s="4" t="n">
        <v>159</v>
      </c>
      <c r="G10" s="5" t="n">
        <f aca="false">IFERROR(D10/F10,0)</f>
        <v>588.772955974843</v>
      </c>
      <c r="H10" s="9" t="n">
        <f aca="false">IFERROR(D10/Summary!$B$21,0)</f>
        <v>0.0342866935403236</v>
      </c>
    </row>
    <row r="11" customFormat="false" ht="15" hidden="false" customHeight="false" outlineLevel="0" collapsed="false">
      <c r="A11" s="4" t="n">
        <v>7</v>
      </c>
      <c r="B11" s="4" t="s">
        <v>43</v>
      </c>
      <c r="C11" s="4" t="s">
        <v>44</v>
      </c>
      <c r="D11" s="5" t="n">
        <v>92009.4</v>
      </c>
      <c r="E11" s="4" t="n">
        <v>2308</v>
      </c>
      <c r="F11" s="4" t="n">
        <v>208</v>
      </c>
      <c r="G11" s="5" t="n">
        <f aca="false">IFERROR(D11/F11,0)</f>
        <v>442.352884615385</v>
      </c>
      <c r="H11" s="9" t="n">
        <f aca="false">IFERROR(D11/Summary!$B$21,0)</f>
        <v>0.0336986751107896</v>
      </c>
    </row>
    <row r="12" customFormat="false" ht="15" hidden="false" customHeight="false" outlineLevel="0" collapsed="false">
      <c r="A12" s="4" t="n">
        <v>8</v>
      </c>
      <c r="B12" s="4" t="s">
        <v>45</v>
      </c>
      <c r="C12" s="4" t="s">
        <v>46</v>
      </c>
      <c r="D12" s="5" t="n">
        <v>91167.8</v>
      </c>
      <c r="E12" s="4" t="n">
        <v>1525</v>
      </c>
      <c r="F12" s="4" t="n">
        <v>177</v>
      </c>
      <c r="G12" s="5" t="n">
        <f aca="false">IFERROR(D12/F12,0)</f>
        <v>515.072316384181</v>
      </c>
      <c r="H12" s="9" t="n">
        <f aca="false">IFERROR(D12/Summary!$B$21,0)</f>
        <v>0.0333904369854106</v>
      </c>
    </row>
    <row r="13" customFormat="false" ht="15" hidden="false" customHeight="false" outlineLevel="0" collapsed="false">
      <c r="A13" s="4" t="n">
        <v>9</v>
      </c>
      <c r="B13" s="4" t="s">
        <v>47</v>
      </c>
      <c r="C13" s="4" t="s">
        <v>48</v>
      </c>
      <c r="D13" s="5" t="n">
        <v>78560.7</v>
      </c>
      <c r="E13" s="4" t="n">
        <v>395</v>
      </c>
      <c r="F13" s="4" t="n">
        <v>167</v>
      </c>
      <c r="G13" s="5" t="n">
        <f aca="false">IFERROR(D13/F13,0)</f>
        <v>470.423353293413</v>
      </c>
      <c r="H13" s="9" t="n">
        <f aca="false">IFERROR(D13/Summary!$B$21,0)</f>
        <v>0.0287730547724059</v>
      </c>
    </row>
    <row r="14" customFormat="false" ht="15" hidden="false" customHeight="false" outlineLevel="0" collapsed="false">
      <c r="A14" s="4" t="n">
        <v>10</v>
      </c>
      <c r="B14" s="4" t="s">
        <v>49</v>
      </c>
      <c r="C14" s="4" t="s">
        <v>50</v>
      </c>
      <c r="D14" s="5" t="n">
        <v>76112.4</v>
      </c>
      <c r="E14" s="4" t="n">
        <v>480</v>
      </c>
      <c r="F14" s="4" t="n">
        <v>162</v>
      </c>
      <c r="G14" s="5" t="n">
        <f aca="false">IFERROR(D14/F14,0)</f>
        <v>469.82962962963</v>
      </c>
      <c r="H14" s="9" t="n">
        <f aca="false">IFERROR(D14/Summary!$B$21,0)</f>
        <v>0.0278763587144624</v>
      </c>
    </row>
    <row r="15" customFormat="false" ht="15" hidden="false" customHeight="false" outlineLevel="0" collapsed="false">
      <c r="A15" s="4" t="n">
        <v>11</v>
      </c>
      <c r="B15" s="4" t="s">
        <v>51</v>
      </c>
      <c r="C15" s="4" t="s">
        <v>52</v>
      </c>
      <c r="D15" s="5" t="n">
        <v>68717.1</v>
      </c>
      <c r="E15" s="4" t="n">
        <v>532</v>
      </c>
      <c r="F15" s="4" t="n">
        <v>172</v>
      </c>
      <c r="G15" s="5" t="n">
        <f aca="false">IFERROR(D15/F15,0)</f>
        <v>399.518023255814</v>
      </c>
      <c r="H15" s="9" t="n">
        <f aca="false">IFERROR(D15/Summary!$B$21,0)</f>
        <v>0.0251678114133517</v>
      </c>
    </row>
    <row r="16" customFormat="false" ht="15" hidden="false" customHeight="false" outlineLevel="0" collapsed="false">
      <c r="A16" s="4" t="n">
        <v>12</v>
      </c>
      <c r="B16" s="4" t="s">
        <v>53</v>
      </c>
      <c r="C16" s="4" t="s">
        <v>54</v>
      </c>
      <c r="D16" s="5" t="n">
        <v>67754.8</v>
      </c>
      <c r="E16" s="4" t="n">
        <v>452</v>
      </c>
      <c r="F16" s="4" t="n">
        <v>158</v>
      </c>
      <c r="G16" s="5" t="n">
        <f aca="false">IFERROR(D16/F16,0)</f>
        <v>428.827848101266</v>
      </c>
      <c r="H16" s="9" t="n">
        <f aca="false">IFERROR(D16/Summary!$B$21,0)</f>
        <v>0.0248153666081566</v>
      </c>
    </row>
    <row r="17" customFormat="false" ht="15" hidden="false" customHeight="false" outlineLevel="0" collapsed="false">
      <c r="A17" s="4" t="n">
        <v>13</v>
      </c>
      <c r="B17" s="4" t="s">
        <v>55</v>
      </c>
      <c r="C17" s="4" t="s">
        <v>56</v>
      </c>
      <c r="D17" s="5" t="n">
        <v>67125.5</v>
      </c>
      <c r="E17" s="4" t="n">
        <v>2251</v>
      </c>
      <c r="F17" s="4" t="n">
        <v>175</v>
      </c>
      <c r="G17" s="5" t="n">
        <f aca="false">IFERROR(D17/F17,0)</f>
        <v>383.574285714286</v>
      </c>
      <c r="H17" s="9" t="n">
        <f aca="false">IFERROR(D17/Summary!$B$21,0)</f>
        <v>0.0245848838939207</v>
      </c>
    </row>
    <row r="18" customFormat="false" ht="15" hidden="false" customHeight="false" outlineLevel="0" collapsed="false">
      <c r="A18" s="4" t="n">
        <v>14</v>
      </c>
      <c r="B18" s="4" t="s">
        <v>57</v>
      </c>
      <c r="C18" s="4" t="s">
        <v>58</v>
      </c>
      <c r="D18" s="5" t="n">
        <v>64367.8</v>
      </c>
      <c r="E18" s="4" t="n">
        <v>326</v>
      </c>
      <c r="F18" s="4" t="n">
        <v>144</v>
      </c>
      <c r="G18" s="5" t="n">
        <f aca="false">IFERROR(D18/F18,0)</f>
        <v>446.998611111111</v>
      </c>
      <c r="H18" s="9" t="n">
        <f aca="false">IFERROR(D18/Summary!$B$21,0)</f>
        <v>0.0235748693046176</v>
      </c>
    </row>
    <row r="19" customFormat="false" ht="15" hidden="false" customHeight="false" outlineLevel="0" collapsed="false">
      <c r="A19" s="4" t="n">
        <v>15</v>
      </c>
      <c r="B19" s="4" t="s">
        <v>59</v>
      </c>
      <c r="C19" s="4" t="s">
        <v>60</v>
      </c>
      <c r="D19" s="5" t="n">
        <v>56324.8</v>
      </c>
      <c r="E19" s="4" t="n">
        <v>758</v>
      </c>
      <c r="F19" s="4" t="n">
        <v>181</v>
      </c>
      <c r="G19" s="5" t="n">
        <f aca="false">IFERROR(D19/F19,0)</f>
        <v>311.186740331492</v>
      </c>
      <c r="H19" s="9" t="n">
        <f aca="false">IFERROR(D19/Summary!$B$21,0)</f>
        <v>0.0206291002428035</v>
      </c>
    </row>
    <row r="20" customFormat="false" ht="15" hidden="false" customHeight="false" outlineLevel="0" collapsed="false">
      <c r="A20" s="4" t="n">
        <v>16</v>
      </c>
      <c r="B20" s="4" t="s">
        <v>61</v>
      </c>
      <c r="C20" s="4" t="s">
        <v>62</v>
      </c>
      <c r="D20" s="5" t="n">
        <v>55544.4</v>
      </c>
      <c r="E20" s="4" t="n">
        <v>556</v>
      </c>
      <c r="F20" s="4" t="n">
        <v>172</v>
      </c>
      <c r="G20" s="5" t="n">
        <f aca="false">IFERROR(D20/F20,0)</f>
        <v>322.932558139535</v>
      </c>
      <c r="H20" s="9" t="n">
        <f aca="false">IFERROR(D20/Summary!$B$21,0)</f>
        <v>0.0203432767719792</v>
      </c>
    </row>
    <row r="21" customFormat="false" ht="15" hidden="false" customHeight="false" outlineLevel="0" collapsed="false">
      <c r="A21" s="4" t="n">
        <v>17</v>
      </c>
      <c r="B21" s="4" t="s">
        <v>63</v>
      </c>
      <c r="C21" s="4" t="s">
        <v>64</v>
      </c>
      <c r="D21" s="5" t="n">
        <v>53665.5</v>
      </c>
      <c r="E21" s="4" t="n">
        <v>1345</v>
      </c>
      <c r="F21" s="4" t="n">
        <v>189</v>
      </c>
      <c r="G21" s="5" t="n">
        <f aca="false">IFERROR(D21/F21,0)</f>
        <v>283.944444444444</v>
      </c>
      <c r="H21" s="9" t="n">
        <f aca="false">IFERROR(D21/Summary!$B$21,0)</f>
        <v>0.019655124902</v>
      </c>
    </row>
    <row r="22" customFormat="false" ht="15" hidden="false" customHeight="false" outlineLevel="0" collapsed="false">
      <c r="A22" s="4" t="n">
        <v>18</v>
      </c>
      <c r="B22" s="4" t="s">
        <v>65</v>
      </c>
      <c r="C22" s="4" t="s">
        <v>66</v>
      </c>
      <c r="D22" s="5" t="n">
        <v>46118.7</v>
      </c>
      <c r="E22" s="4" t="n">
        <v>519</v>
      </c>
      <c r="F22" s="4" t="n">
        <v>159</v>
      </c>
      <c r="G22" s="5" t="n">
        <f aca="false">IFERROR(D22/F22,0)</f>
        <v>290.054716981132</v>
      </c>
      <c r="H22" s="9" t="n">
        <f aca="false">IFERROR(D22/Summary!$B$21,0)</f>
        <v>0.0168910903432907</v>
      </c>
    </row>
    <row r="23" customFormat="false" ht="15" hidden="false" customHeight="false" outlineLevel="0" collapsed="false">
      <c r="A23" s="4" t="n">
        <v>19</v>
      </c>
      <c r="B23" s="4" t="s">
        <v>67</v>
      </c>
      <c r="C23" s="4" t="s">
        <v>68</v>
      </c>
      <c r="D23" s="5" t="n">
        <v>42885.7</v>
      </c>
      <c r="E23" s="4" t="n">
        <v>145</v>
      </c>
      <c r="F23" s="4" t="n">
        <v>91</v>
      </c>
      <c r="G23" s="5" t="n">
        <f aca="false">IFERROR(D23/F23,0)</f>
        <v>471.271428571429</v>
      </c>
      <c r="H23" s="9" t="n">
        <f aca="false">IFERROR(D23/Summary!$B$21,0)</f>
        <v>0.0157069959286637</v>
      </c>
    </row>
    <row r="24" customFormat="false" ht="15" hidden="false" customHeight="false" outlineLevel="0" collapsed="false">
      <c r="A24" s="4" t="n">
        <v>20</v>
      </c>
      <c r="B24" s="4" t="s">
        <v>69</v>
      </c>
      <c r="C24" s="4" t="s">
        <v>70</v>
      </c>
      <c r="D24" s="5" t="n">
        <v>42697.2</v>
      </c>
      <c r="E24" s="4" t="n">
        <v>1433</v>
      </c>
      <c r="F24" s="4" t="n">
        <v>189</v>
      </c>
      <c r="G24" s="5" t="n">
        <f aca="false">IFERROR(D24/F24,0)</f>
        <v>225.911111111111</v>
      </c>
      <c r="H24" s="9" t="n">
        <f aca="false">IFERROR(D24/Summary!$B$21,0)</f>
        <v>0.0156379573276253</v>
      </c>
    </row>
    <row r="25" customFormat="false" ht="15" hidden="false" customHeight="false" outlineLevel="0" collapsed="false">
      <c r="A25" s="6" t="s">
        <v>71</v>
      </c>
      <c r="B25" s="11"/>
      <c r="C25" s="11"/>
      <c r="D25" s="7" t="n">
        <f aca="false">SUM(D5:D24)</f>
        <v>1646538.8</v>
      </c>
      <c r="E25" s="6" t="n">
        <f aca="false">SUM(E5:E24)</f>
        <v>22173</v>
      </c>
      <c r="F25" s="6" t="n">
        <f aca="false">SUM(F5:F24)</f>
        <v>3505</v>
      </c>
      <c r="G25" s="11"/>
      <c r="H25" s="10" t="n">
        <f aca="false">IFERROR(D25/Summary!$B$21,0)</f>
        <v>0.603048993673574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5</v>
      </c>
      <c r="E4" s="3" t="s">
        <v>29</v>
      </c>
      <c r="F4" s="3" t="s">
        <v>6</v>
      </c>
      <c r="G4" s="3" t="s">
        <v>7</v>
      </c>
      <c r="H4" s="3" t="s">
        <v>30</v>
      </c>
    </row>
    <row r="5" customFormat="false" ht="15" hidden="false" customHeight="false" outlineLevel="0" collapsed="false">
      <c r="A5" s="4" t="n">
        <v>1</v>
      </c>
      <c r="B5" s="4" t="s">
        <v>73</v>
      </c>
      <c r="C5" s="4" t="s">
        <v>74</v>
      </c>
      <c r="D5" s="5" t="n">
        <v>150981.6</v>
      </c>
      <c r="E5" s="4" t="n">
        <v>3787</v>
      </c>
      <c r="F5" s="4" t="n">
        <v>246</v>
      </c>
      <c r="G5" s="5" t="n">
        <f aca="false">IFERROR(D5/F5,0)</f>
        <v>613.746341463415</v>
      </c>
      <c r="H5" s="9" t="n">
        <f aca="false">IFERROR(D5/Summary!$B$22,0)</f>
        <v>0.10016244214914</v>
      </c>
    </row>
    <row r="6" customFormat="false" ht="15" hidden="false" customHeight="false" outlineLevel="0" collapsed="false">
      <c r="A6" s="4" t="n">
        <v>2</v>
      </c>
      <c r="B6" s="4" t="s">
        <v>75</v>
      </c>
      <c r="C6" s="4" t="s">
        <v>76</v>
      </c>
      <c r="D6" s="5" t="n">
        <v>94605.3</v>
      </c>
      <c r="E6" s="4" t="n">
        <v>964</v>
      </c>
      <c r="F6" s="4" t="n">
        <v>197</v>
      </c>
      <c r="G6" s="5" t="n">
        <f aca="false">IFERROR(D6/F6,0)</f>
        <v>480.229949238579</v>
      </c>
      <c r="H6" s="9" t="n">
        <f aca="false">IFERROR(D6/Summary!$B$22,0)</f>
        <v>0.0627619384630449</v>
      </c>
    </row>
    <row r="7" customFormat="false" ht="15" hidden="false" customHeight="false" outlineLevel="0" collapsed="false">
      <c r="A7" s="4" t="n">
        <v>3</v>
      </c>
      <c r="B7" s="4" t="s">
        <v>77</v>
      </c>
      <c r="C7" s="4" t="s">
        <v>78</v>
      </c>
      <c r="D7" s="5" t="n">
        <v>93512.6</v>
      </c>
      <c r="E7" s="4" t="n">
        <v>1877</v>
      </c>
      <c r="F7" s="4" t="n">
        <v>212</v>
      </c>
      <c r="G7" s="5" t="n">
        <f aca="false">IFERROR(D7/F7,0)</f>
        <v>441.097169811321</v>
      </c>
      <c r="H7" s="9" t="n">
        <f aca="false">IFERROR(D7/Summary!$B$22,0)</f>
        <v>0.0620370322457551</v>
      </c>
    </row>
    <row r="8" customFormat="false" ht="15" hidden="false" customHeight="false" outlineLevel="0" collapsed="false">
      <c r="A8" s="4" t="n">
        <v>4</v>
      </c>
      <c r="B8" s="4" t="s">
        <v>79</v>
      </c>
      <c r="C8" s="4" t="s">
        <v>80</v>
      </c>
      <c r="D8" s="5" t="n">
        <v>74600.5</v>
      </c>
      <c r="E8" s="4" t="n">
        <v>2497</v>
      </c>
      <c r="F8" s="4" t="n">
        <v>240</v>
      </c>
      <c r="G8" s="5" t="n">
        <f aca="false">IFERROR(D8/F8,0)</f>
        <v>310.835416666667</v>
      </c>
      <c r="H8" s="9" t="n">
        <f aca="false">IFERROR(D8/Summary!$B$22,0)</f>
        <v>0.0494905886912507</v>
      </c>
    </row>
    <row r="9" customFormat="false" ht="15" hidden="false" customHeight="false" outlineLevel="0" collapsed="false">
      <c r="A9" s="4" t="n">
        <v>5</v>
      </c>
      <c r="B9" s="4" t="s">
        <v>81</v>
      </c>
      <c r="C9" s="4" t="s">
        <v>82</v>
      </c>
      <c r="D9" s="5" t="n">
        <v>69364.2</v>
      </c>
      <c r="E9" s="4" t="n">
        <v>1164</v>
      </c>
      <c r="F9" s="4" t="n">
        <v>248</v>
      </c>
      <c r="G9" s="5" t="n">
        <f aca="false">IFERROR(D9/F9,0)</f>
        <v>279.69435483871</v>
      </c>
      <c r="H9" s="9" t="n">
        <f aca="false">IFERROR(D9/Summary!$B$22,0)</f>
        <v>0.046016783963883</v>
      </c>
    </row>
    <row r="10" customFormat="false" ht="15" hidden="false" customHeight="false" outlineLevel="0" collapsed="false">
      <c r="A10" s="4" t="n">
        <v>6</v>
      </c>
      <c r="B10" s="4" t="s">
        <v>83</v>
      </c>
      <c r="C10" s="4" t="s">
        <v>84</v>
      </c>
      <c r="D10" s="5" t="n">
        <v>55744.2</v>
      </c>
      <c r="E10" s="4" t="n">
        <v>565</v>
      </c>
      <c r="F10" s="4" t="n">
        <v>183</v>
      </c>
      <c r="G10" s="5" t="n">
        <f aca="false">IFERROR(D10/F10,0)</f>
        <v>304.613114754098</v>
      </c>
      <c r="H10" s="9" t="n">
        <f aca="false">IFERROR(D10/Summary!$B$22,0)</f>
        <v>0.0369811633182461</v>
      </c>
    </row>
    <row r="11" customFormat="false" ht="15" hidden="false" customHeight="false" outlineLevel="0" collapsed="false">
      <c r="A11" s="4" t="n">
        <v>7</v>
      </c>
      <c r="B11" s="4" t="s">
        <v>85</v>
      </c>
      <c r="C11" s="4" t="s">
        <v>86</v>
      </c>
      <c r="D11" s="5" t="n">
        <v>53064.6</v>
      </c>
      <c r="E11" s="4" t="n">
        <v>360</v>
      </c>
      <c r="F11" s="4" t="n">
        <v>157</v>
      </c>
      <c r="G11" s="5" t="n">
        <f aca="false">IFERROR(D11/F11,0)</f>
        <v>337.991082802548</v>
      </c>
      <c r="H11" s="9" t="n">
        <f aca="false">IFERROR(D11/Summary!$B$22,0)</f>
        <v>0.0352034945163336</v>
      </c>
    </row>
    <row r="12" customFormat="false" ht="15" hidden="false" customHeight="false" outlineLevel="0" collapsed="false">
      <c r="A12" s="4" t="n">
        <v>8</v>
      </c>
      <c r="B12" s="4" t="s">
        <v>87</v>
      </c>
      <c r="C12" s="4" t="s">
        <v>88</v>
      </c>
      <c r="D12" s="5" t="n">
        <v>46401.3</v>
      </c>
      <c r="E12" s="4" t="n">
        <v>395</v>
      </c>
      <c r="F12" s="4" t="n">
        <v>151</v>
      </c>
      <c r="G12" s="5" t="n">
        <f aca="false">IFERROR(D12/F12,0)</f>
        <v>307.293377483444</v>
      </c>
      <c r="H12" s="9" t="n">
        <f aca="false">IFERROR(D12/Summary!$B$22,0)</f>
        <v>0.0307830061868128</v>
      </c>
    </row>
    <row r="13" customFormat="false" ht="15" hidden="false" customHeight="false" outlineLevel="0" collapsed="false">
      <c r="A13" s="4" t="n">
        <v>9</v>
      </c>
      <c r="B13" s="4" t="s">
        <v>89</v>
      </c>
      <c r="C13" s="4" t="s">
        <v>90</v>
      </c>
      <c r="D13" s="5" t="n">
        <v>45829.7</v>
      </c>
      <c r="E13" s="4" t="n">
        <v>2305</v>
      </c>
      <c r="F13" s="4" t="n">
        <v>216</v>
      </c>
      <c r="G13" s="5" t="n">
        <f aca="false">IFERROR(D13/F13,0)</f>
        <v>212.174537037037</v>
      </c>
      <c r="H13" s="9" t="n">
        <f aca="false">IFERROR(D13/Summary!$B$22,0)</f>
        <v>0.0304038020193352</v>
      </c>
    </row>
    <row r="14" customFormat="false" ht="15" hidden="false" customHeight="false" outlineLevel="0" collapsed="false">
      <c r="A14" s="4" t="n">
        <v>10</v>
      </c>
      <c r="B14" s="4" t="s">
        <v>91</v>
      </c>
      <c r="C14" s="4" t="s">
        <v>92</v>
      </c>
      <c r="D14" s="5" t="n">
        <v>40814.9</v>
      </c>
      <c r="E14" s="4" t="n">
        <v>2051</v>
      </c>
      <c r="F14" s="4" t="n">
        <v>214</v>
      </c>
      <c r="G14" s="5" t="n">
        <f aca="false">IFERROR(D14/F14,0)</f>
        <v>190.723831775701</v>
      </c>
      <c r="H14" s="9" t="n">
        <f aca="false">IFERROR(D14/Summary!$B$22,0)</f>
        <v>0.0270769422239064</v>
      </c>
    </row>
    <row r="15" customFormat="false" ht="15" hidden="false" customHeight="false" outlineLevel="0" collapsed="false">
      <c r="A15" s="4" t="n">
        <v>11</v>
      </c>
      <c r="B15" s="4" t="s">
        <v>93</v>
      </c>
      <c r="C15" s="4" t="s">
        <v>94</v>
      </c>
      <c r="D15" s="5" t="n">
        <v>37408.8</v>
      </c>
      <c r="E15" s="4" t="n">
        <v>316</v>
      </c>
      <c r="F15" s="4" t="n">
        <v>135</v>
      </c>
      <c r="G15" s="5" t="n">
        <f aca="false">IFERROR(D15/F15,0)</f>
        <v>277.102222222222</v>
      </c>
      <c r="H15" s="9" t="n">
        <f aca="false">IFERROR(D15/Summary!$B$22,0)</f>
        <v>0.0248173073133995</v>
      </c>
    </row>
    <row r="16" customFormat="false" ht="15" hidden="false" customHeight="false" outlineLevel="0" collapsed="false">
      <c r="A16" s="4" t="n">
        <v>12</v>
      </c>
      <c r="B16" s="4" t="s">
        <v>95</v>
      </c>
      <c r="C16" s="4" t="s">
        <v>96</v>
      </c>
      <c r="D16" s="5" t="n">
        <v>35982</v>
      </c>
      <c r="E16" s="4" t="n">
        <v>183</v>
      </c>
      <c r="F16" s="4" t="n">
        <v>102</v>
      </c>
      <c r="G16" s="5" t="n">
        <f aca="false">IFERROR(D16/F16,0)</f>
        <v>352.764705882353</v>
      </c>
      <c r="H16" s="9" t="n">
        <f aca="false">IFERROR(D16/Summary!$B$22,0)</f>
        <v>0.0238707563929006</v>
      </c>
    </row>
    <row r="17" customFormat="false" ht="15" hidden="false" customHeight="false" outlineLevel="0" collapsed="false">
      <c r="A17" s="4" t="n">
        <v>13</v>
      </c>
      <c r="B17" s="4" t="s">
        <v>97</v>
      </c>
      <c r="C17" s="4" t="s">
        <v>98</v>
      </c>
      <c r="D17" s="5" t="n">
        <v>33532.8</v>
      </c>
      <c r="E17" s="4" t="n">
        <v>673</v>
      </c>
      <c r="F17" s="4" t="n">
        <v>107</v>
      </c>
      <c r="G17" s="5" t="n">
        <f aca="false">IFERROR(D17/F17,0)</f>
        <v>313.390654205608</v>
      </c>
      <c r="H17" s="9" t="n">
        <f aca="false">IFERROR(D17/Summary!$B$22,0)</f>
        <v>0.0222459368565354</v>
      </c>
    </row>
    <row r="18" customFormat="false" ht="15" hidden="false" customHeight="false" outlineLevel="0" collapsed="false">
      <c r="A18" s="4" t="n">
        <v>14</v>
      </c>
      <c r="B18" s="4" t="s">
        <v>99</v>
      </c>
      <c r="C18" s="4" t="s">
        <v>100</v>
      </c>
      <c r="D18" s="5" t="n">
        <v>33158.5</v>
      </c>
      <c r="E18" s="4" t="n">
        <v>419</v>
      </c>
      <c r="F18" s="4" t="n">
        <v>164</v>
      </c>
      <c r="G18" s="5" t="n">
        <f aca="false">IFERROR(D18/F18,0)</f>
        <v>202.185975609756</v>
      </c>
      <c r="H18" s="9" t="n">
        <f aca="false">IFERROR(D18/Summary!$B$22,0)</f>
        <v>0.0219976231408481</v>
      </c>
    </row>
    <row r="19" customFormat="false" ht="15" hidden="false" customHeight="false" outlineLevel="0" collapsed="false">
      <c r="A19" s="4" t="n">
        <v>15</v>
      </c>
      <c r="B19" s="4" t="s">
        <v>101</v>
      </c>
      <c r="C19" s="4" t="s">
        <v>102</v>
      </c>
      <c r="D19" s="5" t="n">
        <v>32983.9</v>
      </c>
      <c r="E19" s="4" t="n">
        <v>664</v>
      </c>
      <c r="F19" s="4" t="n">
        <v>157</v>
      </c>
      <c r="G19" s="5" t="n">
        <f aca="false">IFERROR(D19/F19,0)</f>
        <v>210.088535031847</v>
      </c>
      <c r="H19" s="9" t="n">
        <f aca="false">IFERROR(D19/Summary!$B$22,0)</f>
        <v>0.0218817920568005</v>
      </c>
    </row>
    <row r="20" customFormat="false" ht="15" hidden="false" customHeight="false" outlineLevel="0" collapsed="false">
      <c r="A20" s="4" t="n">
        <v>16</v>
      </c>
      <c r="B20" s="4" t="s">
        <v>103</v>
      </c>
      <c r="C20" s="4" t="s">
        <v>104</v>
      </c>
      <c r="D20" s="5" t="n">
        <v>30384.8</v>
      </c>
      <c r="E20" s="4" t="n">
        <v>157</v>
      </c>
      <c r="F20" s="4" t="n">
        <v>98</v>
      </c>
      <c r="G20" s="5" t="n">
        <f aca="false">IFERROR(D20/F20,0)</f>
        <v>310.048979591837</v>
      </c>
      <c r="H20" s="9" t="n">
        <f aca="false">IFERROR(D20/Summary!$B$22,0)</f>
        <v>0.0201575276206716</v>
      </c>
    </row>
    <row r="21" customFormat="false" ht="15" hidden="false" customHeight="false" outlineLevel="0" collapsed="false">
      <c r="A21" s="4" t="n">
        <v>17</v>
      </c>
      <c r="B21" s="4" t="s">
        <v>105</v>
      </c>
      <c r="C21" s="4" t="s">
        <v>106</v>
      </c>
      <c r="D21" s="5" t="n">
        <v>26775.3</v>
      </c>
      <c r="E21" s="4" t="n">
        <v>447</v>
      </c>
      <c r="F21" s="4" t="n">
        <v>158</v>
      </c>
      <c r="G21" s="5" t="n">
        <f aca="false">IFERROR(D21/F21,0)</f>
        <v>169.463924050633</v>
      </c>
      <c r="H21" s="9" t="n">
        <f aca="false">IFERROR(D21/Summary!$B$22,0)</f>
        <v>0.0177629554679237</v>
      </c>
    </row>
    <row r="22" customFormat="false" ht="15" hidden="false" customHeight="false" outlineLevel="0" collapsed="false">
      <c r="A22" s="4" t="n">
        <v>18</v>
      </c>
      <c r="B22" s="4" t="s">
        <v>107</v>
      </c>
      <c r="C22" s="4" t="s">
        <v>108</v>
      </c>
      <c r="D22" s="5" t="n">
        <v>25816.9</v>
      </c>
      <c r="E22" s="4" t="n">
        <v>435</v>
      </c>
      <c r="F22" s="4" t="n">
        <v>126</v>
      </c>
      <c r="G22" s="5" t="n">
        <f aca="false">IFERROR(D22/F22,0)</f>
        <v>204.896031746032</v>
      </c>
      <c r="H22" s="9" t="n">
        <f aca="false">IFERROR(D22/Summary!$B$22,0)</f>
        <v>0.0171271449813761</v>
      </c>
    </row>
    <row r="23" customFormat="false" ht="15" hidden="false" customHeight="false" outlineLevel="0" collapsed="false">
      <c r="A23" s="4" t="n">
        <v>19</v>
      </c>
      <c r="B23" s="4" t="s">
        <v>109</v>
      </c>
      <c r="C23" s="4" t="s">
        <v>110</v>
      </c>
      <c r="D23" s="5" t="n">
        <v>22554.8</v>
      </c>
      <c r="E23" s="4" t="n">
        <v>453</v>
      </c>
      <c r="F23" s="4" t="n">
        <v>154</v>
      </c>
      <c r="G23" s="5" t="n">
        <f aca="false">IFERROR(D23/F23,0)</f>
        <v>146.45974025974</v>
      </c>
      <c r="H23" s="9" t="n">
        <f aca="false">IFERROR(D23/Summary!$B$22,0)</f>
        <v>0.0149630408618363</v>
      </c>
    </row>
    <row r="24" customFormat="false" ht="15" hidden="false" customHeight="false" outlineLevel="0" collapsed="false">
      <c r="A24" s="4" t="n">
        <v>20</v>
      </c>
      <c r="B24" s="4" t="s">
        <v>111</v>
      </c>
      <c r="C24" s="4" t="s">
        <v>112</v>
      </c>
      <c r="D24" s="5" t="n">
        <v>21589.2</v>
      </c>
      <c r="E24" s="4" t="n">
        <v>109</v>
      </c>
      <c r="F24" s="4" t="n">
        <v>80</v>
      </c>
      <c r="G24" s="5" t="n">
        <f aca="false">IFERROR(D24/F24,0)</f>
        <v>269.865</v>
      </c>
      <c r="H24" s="9" t="n">
        <f aca="false">IFERROR(D24/Summary!$B$22,0)</f>
        <v>0.0143224538357404</v>
      </c>
    </row>
    <row r="25" customFormat="false" ht="15" hidden="false" customHeight="false" outlineLevel="0" collapsed="false">
      <c r="A25" s="6" t="s">
        <v>71</v>
      </c>
      <c r="B25" s="11"/>
      <c r="C25" s="11"/>
      <c r="D25" s="7" t="n">
        <f aca="false">SUM(D5:D24)</f>
        <v>1025105.9</v>
      </c>
      <c r="E25" s="6" t="n">
        <f aca="false">SUM(E5:E24)</f>
        <v>19821</v>
      </c>
      <c r="F25" s="6" t="n">
        <f aca="false">SUM(F5:F24)</f>
        <v>3345</v>
      </c>
      <c r="G25" s="11"/>
      <c r="H25" s="10" t="n">
        <f aca="false">IFERROR(D25/Summary!$B$22,0)</f>
        <v>0.680063732305741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5</v>
      </c>
      <c r="E4" s="3" t="s">
        <v>29</v>
      </c>
      <c r="F4" s="3" t="s">
        <v>6</v>
      </c>
      <c r="G4" s="3" t="s">
        <v>7</v>
      </c>
      <c r="H4" s="3" t="s">
        <v>30</v>
      </c>
    </row>
    <row r="5" customFormat="false" ht="15" hidden="false" customHeight="false" outlineLevel="0" collapsed="false">
      <c r="A5" s="4" t="n">
        <v>1</v>
      </c>
      <c r="B5" s="4" t="s">
        <v>114</v>
      </c>
      <c r="C5" s="4" t="s">
        <v>115</v>
      </c>
      <c r="D5" s="5" t="n">
        <v>27680.4</v>
      </c>
      <c r="E5" s="4" t="n">
        <v>408</v>
      </c>
      <c r="F5" s="4" t="n">
        <v>144</v>
      </c>
      <c r="G5" s="5" t="n">
        <f aca="false">IFERROR(D5/F5,0)</f>
        <v>192.225</v>
      </c>
      <c r="H5" s="9" t="n">
        <f aca="false">IFERROR(D5/Summary!$B$23,0)</f>
        <v>0.0695133931889913</v>
      </c>
    </row>
    <row r="6" customFormat="false" ht="15" hidden="false" customHeight="false" outlineLevel="0" collapsed="false">
      <c r="A6" s="4" t="n">
        <v>2</v>
      </c>
      <c r="B6" s="4" t="s">
        <v>116</v>
      </c>
      <c r="C6" s="4" t="s">
        <v>117</v>
      </c>
      <c r="D6" s="5" t="n">
        <v>22564.9</v>
      </c>
      <c r="E6" s="4" t="n">
        <v>251</v>
      </c>
      <c r="F6" s="4" t="n">
        <v>136</v>
      </c>
      <c r="G6" s="5" t="n">
        <f aca="false">IFERROR(D6/F6,0)</f>
        <v>165.918382352941</v>
      </c>
      <c r="H6" s="9" t="n">
        <f aca="false">IFERROR(D6/Summary!$B$23,0)</f>
        <v>0.0566669110984766</v>
      </c>
    </row>
    <row r="7" customFormat="false" ht="15" hidden="false" customHeight="false" outlineLevel="0" collapsed="false">
      <c r="A7" s="4" t="n">
        <v>3</v>
      </c>
      <c r="B7" s="4" t="s">
        <v>118</v>
      </c>
      <c r="C7" s="4" t="s">
        <v>119</v>
      </c>
      <c r="D7" s="5" t="n">
        <v>22342.7</v>
      </c>
      <c r="E7" s="4" t="n">
        <v>375</v>
      </c>
      <c r="F7" s="4" t="n">
        <v>133</v>
      </c>
      <c r="G7" s="5" t="n">
        <f aca="false">IFERROR(D7/F7,0)</f>
        <v>167.99022556391</v>
      </c>
      <c r="H7" s="9" t="n">
        <f aca="false">IFERROR(D7/Summary!$B$23,0)</f>
        <v>0.0561089034119332</v>
      </c>
    </row>
    <row r="8" customFormat="false" ht="15" hidden="false" customHeight="false" outlineLevel="0" collapsed="false">
      <c r="A8" s="4" t="n">
        <v>4</v>
      </c>
      <c r="B8" s="4" t="s">
        <v>120</v>
      </c>
      <c r="C8" s="4" t="s">
        <v>121</v>
      </c>
      <c r="D8" s="5" t="n">
        <v>18753</v>
      </c>
      <c r="E8" s="4" t="n">
        <v>470</v>
      </c>
      <c r="F8" s="4" t="n">
        <v>157</v>
      </c>
      <c r="G8" s="5" t="n">
        <f aca="false">IFERROR(D8/F8,0)</f>
        <v>119.445859872611</v>
      </c>
      <c r="H8" s="9" t="n">
        <f aca="false">IFERROR(D8/Summary!$B$23,0)</f>
        <v>0.0470941410699684</v>
      </c>
    </row>
    <row r="9" customFormat="false" ht="15" hidden="false" customHeight="false" outlineLevel="0" collapsed="false">
      <c r="A9" s="4" t="n">
        <v>5</v>
      </c>
      <c r="B9" s="4" t="s">
        <v>122</v>
      </c>
      <c r="C9" s="4" t="s">
        <v>123</v>
      </c>
      <c r="D9" s="5" t="n">
        <v>13836.9</v>
      </c>
      <c r="E9" s="4" t="n">
        <v>232</v>
      </c>
      <c r="F9" s="4" t="n">
        <v>118</v>
      </c>
      <c r="G9" s="5" t="n">
        <f aca="false">IFERROR(D9/F9,0)</f>
        <v>117.26186440678</v>
      </c>
      <c r="H9" s="9" t="n">
        <f aca="false">IFERROR(D9/Summary!$B$23,0)</f>
        <v>0.0347484093516262</v>
      </c>
    </row>
    <row r="10" customFormat="false" ht="15" hidden="false" customHeight="false" outlineLevel="0" collapsed="false">
      <c r="A10" s="4" t="n">
        <v>6</v>
      </c>
      <c r="B10" s="4" t="s">
        <v>124</v>
      </c>
      <c r="C10" s="4" t="s">
        <v>125</v>
      </c>
      <c r="D10" s="5" t="n">
        <v>13365.3</v>
      </c>
      <c r="E10" s="4" t="n">
        <v>449</v>
      </c>
      <c r="F10" s="4" t="n">
        <v>160</v>
      </c>
      <c r="G10" s="5" t="n">
        <f aca="false">IFERROR(D10/F10,0)</f>
        <v>83.533125</v>
      </c>
      <c r="H10" s="9" t="n">
        <f aca="false">IFERROR(D10/Summary!$B$23,0)</f>
        <v>0.0335640870070095</v>
      </c>
    </row>
    <row r="11" customFormat="false" ht="15" hidden="false" customHeight="false" outlineLevel="0" collapsed="false">
      <c r="A11" s="4" t="n">
        <v>7</v>
      </c>
      <c r="B11" s="4" t="s">
        <v>126</v>
      </c>
      <c r="C11" s="4" t="s">
        <v>127</v>
      </c>
      <c r="D11" s="5" t="n">
        <v>12109.9</v>
      </c>
      <c r="E11" s="4" t="n">
        <v>102</v>
      </c>
      <c r="F11" s="4" t="n">
        <v>70</v>
      </c>
      <c r="G11" s="5" t="n">
        <f aca="false">IFERROR(D11/F11,0)</f>
        <v>172.998571428571</v>
      </c>
      <c r="H11" s="9" t="n">
        <f aca="false">IFERROR(D11/Summary!$B$23,0)</f>
        <v>0.0304114189166113</v>
      </c>
    </row>
    <row r="12" customFormat="false" ht="15" hidden="false" customHeight="false" outlineLevel="0" collapsed="false">
      <c r="A12" s="4" t="n">
        <v>8</v>
      </c>
      <c r="B12" s="4" t="s">
        <v>128</v>
      </c>
      <c r="C12" s="4" t="s">
        <v>129</v>
      </c>
      <c r="D12" s="5" t="n">
        <v>11150.7</v>
      </c>
      <c r="E12" s="4" t="n">
        <v>94</v>
      </c>
      <c r="F12" s="4" t="n">
        <v>62</v>
      </c>
      <c r="G12" s="5" t="n">
        <f aca="false">IFERROR(D12/F12,0)</f>
        <v>179.85</v>
      </c>
      <c r="H12" s="9" t="n">
        <f aca="false">IFERROR(D12/Summary!$B$23,0)</f>
        <v>0.0280025936558896</v>
      </c>
    </row>
    <row r="13" customFormat="false" ht="15" hidden="false" customHeight="false" outlineLevel="0" collapsed="false">
      <c r="A13" s="4" t="n">
        <v>9</v>
      </c>
      <c r="B13" s="4" t="s">
        <v>130</v>
      </c>
      <c r="C13" s="4" t="s">
        <v>131</v>
      </c>
      <c r="D13" s="5" t="n">
        <v>11077.8</v>
      </c>
      <c r="E13" s="4" t="n">
        <v>228</v>
      </c>
      <c r="F13" s="4" t="n">
        <v>105</v>
      </c>
      <c r="G13" s="5" t="n">
        <f aca="false">IFERROR(D13/F13,0)</f>
        <v>105.502857142857</v>
      </c>
      <c r="H13" s="9" t="n">
        <f aca="false">IFERROR(D13/Summary!$B$23,0)</f>
        <v>0.0278195209270461</v>
      </c>
    </row>
    <row r="14" customFormat="false" ht="15" hidden="false" customHeight="false" outlineLevel="0" collapsed="false">
      <c r="A14" s="4" t="n">
        <v>10</v>
      </c>
      <c r="B14" s="4" t="s">
        <v>132</v>
      </c>
      <c r="C14" s="4" t="s">
        <v>133</v>
      </c>
      <c r="D14" s="5" t="n">
        <v>10764.6</v>
      </c>
      <c r="E14" s="4" t="n">
        <v>157</v>
      </c>
      <c r="F14" s="4" t="n">
        <v>94</v>
      </c>
      <c r="G14" s="5" t="n">
        <f aca="false">IFERROR(D14/F14,0)</f>
        <v>114.517021276596</v>
      </c>
      <c r="H14" s="9" t="n">
        <f aca="false">IFERROR(D14/Summary!$B$23,0)</f>
        <v>0.0270329862401633</v>
      </c>
    </row>
    <row r="15" customFormat="false" ht="15" hidden="false" customHeight="false" outlineLevel="0" collapsed="false">
      <c r="A15" s="4" t="n">
        <v>11</v>
      </c>
      <c r="B15" s="4" t="s">
        <v>134</v>
      </c>
      <c r="C15" s="4" t="s">
        <v>135</v>
      </c>
      <c r="D15" s="5" t="n">
        <v>9305.1</v>
      </c>
      <c r="E15" s="4" t="n">
        <v>50</v>
      </c>
      <c r="F15" s="4" t="n">
        <v>44</v>
      </c>
      <c r="G15" s="5" t="n">
        <f aca="false">IFERROR(D15/F15,0)</f>
        <v>211.479545454545</v>
      </c>
      <c r="H15" s="9" t="n">
        <f aca="false">IFERROR(D15/Summary!$B$23,0)</f>
        <v>0.0233677647347178</v>
      </c>
    </row>
    <row r="16" customFormat="false" ht="15" hidden="false" customHeight="false" outlineLevel="0" collapsed="false">
      <c r="A16" s="4" t="n">
        <v>12</v>
      </c>
      <c r="B16" s="4" t="s">
        <v>136</v>
      </c>
      <c r="C16" s="4" t="s">
        <v>125</v>
      </c>
      <c r="D16" s="5" t="n">
        <v>8882.2</v>
      </c>
      <c r="E16" s="4" t="n">
        <v>181</v>
      </c>
      <c r="F16" s="4" t="n">
        <v>102</v>
      </c>
      <c r="G16" s="5" t="n">
        <f aca="false">IFERROR(D16/F16,0)</f>
        <v>87.0803921568628</v>
      </c>
      <c r="H16" s="9" t="n">
        <f aca="false">IFERROR(D16/Summary!$B$23,0)</f>
        <v>0.0223057420045685</v>
      </c>
    </row>
    <row r="17" customFormat="false" ht="15" hidden="false" customHeight="false" outlineLevel="0" collapsed="false">
      <c r="A17" s="4" t="n">
        <v>13</v>
      </c>
      <c r="B17" s="4" t="s">
        <v>137</v>
      </c>
      <c r="C17" s="4" t="s">
        <v>138</v>
      </c>
      <c r="D17" s="5" t="n">
        <v>8632.7</v>
      </c>
      <c r="E17" s="4" t="n">
        <v>174</v>
      </c>
      <c r="F17" s="4" t="n">
        <v>100</v>
      </c>
      <c r="G17" s="5" t="n">
        <f aca="false">IFERROR(D17/F17,0)</f>
        <v>86.327</v>
      </c>
      <c r="H17" s="9" t="n">
        <f aca="false">IFERROR(D17/Summary!$B$23,0)</f>
        <v>0.0216791762179234</v>
      </c>
    </row>
    <row r="18" customFormat="false" ht="15" hidden="false" customHeight="false" outlineLevel="0" collapsed="false">
      <c r="A18" s="4" t="n">
        <v>14</v>
      </c>
      <c r="B18" s="4" t="s">
        <v>139</v>
      </c>
      <c r="C18" s="4" t="s">
        <v>140</v>
      </c>
      <c r="D18" s="5" t="n">
        <v>8391.6</v>
      </c>
      <c r="E18" s="4" t="n">
        <v>86</v>
      </c>
      <c r="F18" s="4" t="n">
        <v>63</v>
      </c>
      <c r="G18" s="5" t="n">
        <f aca="false">IFERROR(D18/F18,0)</f>
        <v>133.2</v>
      </c>
      <c r="H18" s="9" t="n">
        <f aca="false">IFERROR(D18/Summary!$B$23,0)</f>
        <v>0.0210737052313095</v>
      </c>
    </row>
    <row r="19" customFormat="false" ht="15" hidden="false" customHeight="false" outlineLevel="0" collapsed="false">
      <c r="A19" s="4" t="n">
        <v>15</v>
      </c>
      <c r="B19" s="4" t="s">
        <v>141</v>
      </c>
      <c r="C19" s="4" t="s">
        <v>142</v>
      </c>
      <c r="D19" s="5" t="n">
        <v>6990</v>
      </c>
      <c r="E19" s="4" t="n">
        <v>100</v>
      </c>
      <c r="F19" s="4" t="n">
        <v>68</v>
      </c>
      <c r="G19" s="5" t="n">
        <f aca="false">IFERROR(D19/F19,0)</f>
        <v>102.794117647059</v>
      </c>
      <c r="H19" s="9" t="n">
        <f aca="false">IFERROR(D19/Summary!$B$23,0)</f>
        <v>0.0175538871689372</v>
      </c>
    </row>
    <row r="20" customFormat="false" ht="15" hidden="false" customHeight="false" outlineLevel="0" collapsed="false">
      <c r="A20" s="4" t="n">
        <v>16</v>
      </c>
      <c r="B20" s="4" t="s">
        <v>143</v>
      </c>
      <c r="C20" s="4" t="s">
        <v>144</v>
      </c>
      <c r="D20" s="5" t="n">
        <v>6445.7</v>
      </c>
      <c r="E20" s="4" t="n">
        <v>43</v>
      </c>
      <c r="F20" s="4" t="n">
        <v>26</v>
      </c>
      <c r="G20" s="5" t="n">
        <f aca="false">IFERROR(D20/F20,0)</f>
        <v>247.911538461538</v>
      </c>
      <c r="H20" s="9" t="n">
        <f aca="false">IFERROR(D20/Summary!$B$23,0)</f>
        <v>0.0161869943526207</v>
      </c>
    </row>
    <row r="21" customFormat="false" ht="15" hidden="false" customHeight="false" outlineLevel="0" collapsed="false">
      <c r="A21" s="4" t="n">
        <v>17</v>
      </c>
      <c r="B21" s="4" t="s">
        <v>145</v>
      </c>
      <c r="C21" s="4" t="s">
        <v>146</v>
      </c>
      <c r="D21" s="5" t="n">
        <v>6393.6</v>
      </c>
      <c r="E21" s="4" t="n">
        <v>64</v>
      </c>
      <c r="F21" s="4" t="n">
        <v>45</v>
      </c>
      <c r="G21" s="5" t="n">
        <f aca="false">IFERROR(D21/F21,0)</f>
        <v>142.08</v>
      </c>
      <c r="H21" s="9" t="n">
        <f aca="false">IFERROR(D21/Summary!$B$23,0)</f>
        <v>0.016056156366712</v>
      </c>
    </row>
    <row r="22" customFormat="false" ht="15" hidden="false" customHeight="false" outlineLevel="0" collapsed="false">
      <c r="A22" s="4" t="n">
        <v>18</v>
      </c>
      <c r="B22" s="4" t="s">
        <v>147</v>
      </c>
      <c r="C22" s="4" t="s">
        <v>148</v>
      </c>
      <c r="D22" s="5" t="n">
        <v>6237.5</v>
      </c>
      <c r="E22" s="4" t="n">
        <v>127</v>
      </c>
      <c r="F22" s="4" t="n">
        <v>73</v>
      </c>
      <c r="G22" s="5" t="n">
        <f aca="false">IFERROR(D22/F22,0)</f>
        <v>85.4452054794521</v>
      </c>
      <c r="H22" s="9" t="n">
        <f aca="false">IFERROR(D22/Summary!$B$23,0)</f>
        <v>0.0156641446661296</v>
      </c>
    </row>
    <row r="23" customFormat="false" ht="15" hidden="false" customHeight="false" outlineLevel="0" collapsed="false">
      <c r="A23" s="4" t="n">
        <v>19</v>
      </c>
      <c r="B23" s="4" t="s">
        <v>149</v>
      </c>
      <c r="C23" s="4" t="s">
        <v>150</v>
      </c>
      <c r="D23" s="5" t="n">
        <v>5696.2</v>
      </c>
      <c r="E23" s="4" t="n">
        <v>38</v>
      </c>
      <c r="F23" s="4" t="n">
        <v>33</v>
      </c>
      <c r="G23" s="5" t="n">
        <f aca="false">IFERROR(D23/F23,0)</f>
        <v>172.612121212121</v>
      </c>
      <c r="H23" s="9" t="n">
        <f aca="false">IFERROR(D23/Summary!$B$23,0)</f>
        <v>0.0143047857069671</v>
      </c>
    </row>
    <row r="24" customFormat="false" ht="15" hidden="false" customHeight="false" outlineLevel="0" collapsed="false">
      <c r="A24" s="4" t="n">
        <v>20</v>
      </c>
      <c r="B24" s="4" t="s">
        <v>151</v>
      </c>
      <c r="C24" s="4" t="s">
        <v>152</v>
      </c>
      <c r="D24" s="5" t="n">
        <v>5570.7</v>
      </c>
      <c r="E24" s="4" t="n">
        <v>93</v>
      </c>
      <c r="F24" s="4" t="n">
        <v>74</v>
      </c>
      <c r="G24" s="5" t="n">
        <f aca="false">IFERROR(D24/F24,0)</f>
        <v>75.2797297297297</v>
      </c>
      <c r="H24" s="9" t="n">
        <f aca="false">IFERROR(D24/Summary!$B$23,0)</f>
        <v>0.013989619349356</v>
      </c>
    </row>
    <row r="25" customFormat="false" ht="15" hidden="false" customHeight="false" outlineLevel="0" collapsed="false">
      <c r="A25" s="6" t="s">
        <v>71</v>
      </c>
      <c r="B25" s="11"/>
      <c r="C25" s="11"/>
      <c r="D25" s="7" t="n">
        <f aca="false">SUM(D5:D24)</f>
        <v>236191.5</v>
      </c>
      <c r="E25" s="6" t="n">
        <f aca="false">SUM(E5:E24)</f>
        <v>3722</v>
      </c>
      <c r="F25" s="6" t="n">
        <f aca="false">SUM(F5:F24)</f>
        <v>1807</v>
      </c>
      <c r="G25" s="11"/>
      <c r="H25" s="10" t="n">
        <f aca="false">IFERROR(D25/Summary!$B$23,0)</f>
        <v>0.593144340666957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3</v>
      </c>
      <c r="E4" s="3" t="s">
        <v>5</v>
      </c>
      <c r="F4" s="3" t="s">
        <v>29</v>
      </c>
      <c r="G4" s="3" t="s">
        <v>6</v>
      </c>
      <c r="H4" s="3" t="s">
        <v>7</v>
      </c>
    </row>
    <row r="5" customFormat="false" ht="15" hidden="false" customHeight="false" outlineLevel="0" collapsed="false">
      <c r="A5" s="4" t="n">
        <v>1</v>
      </c>
      <c r="B5" s="4" t="s">
        <v>155</v>
      </c>
      <c r="C5" s="4" t="s">
        <v>156</v>
      </c>
      <c r="D5" s="4" t="s">
        <v>15</v>
      </c>
      <c r="E5" s="5" t="n">
        <v>3716.9</v>
      </c>
      <c r="F5" s="4" t="n">
        <v>31</v>
      </c>
      <c r="G5" s="4" t="n">
        <v>27</v>
      </c>
      <c r="H5" s="5" t="n">
        <f aca="false">IFERROR(E5/G5,0)</f>
        <v>137.662962962963</v>
      </c>
    </row>
    <row r="6" customFormat="false" ht="15" hidden="false" customHeight="false" outlineLevel="0" collapsed="false">
      <c r="A6" s="4" t="n">
        <v>2</v>
      </c>
      <c r="B6" s="4" t="s">
        <v>157</v>
      </c>
      <c r="C6" s="4" t="s">
        <v>133</v>
      </c>
      <c r="D6" s="4" t="s">
        <v>14</v>
      </c>
      <c r="E6" s="5" t="n">
        <v>2726.1</v>
      </c>
      <c r="F6" s="4" t="n">
        <v>43</v>
      </c>
      <c r="G6" s="4" t="n">
        <v>34</v>
      </c>
      <c r="H6" s="5" t="n">
        <f aca="false">IFERROR(E6/G6,0)</f>
        <v>80.1794117647059</v>
      </c>
    </row>
    <row r="7" customFormat="false" ht="15" hidden="false" customHeight="false" outlineLevel="0" collapsed="false">
      <c r="A7" s="4" t="n">
        <v>3</v>
      </c>
      <c r="B7" s="4" t="s">
        <v>158</v>
      </c>
      <c r="C7" s="4" t="s">
        <v>159</v>
      </c>
      <c r="D7" s="4" t="s">
        <v>14</v>
      </c>
      <c r="E7" s="5" t="n">
        <v>1623.7</v>
      </c>
      <c r="F7" s="4" t="n">
        <v>13</v>
      </c>
      <c r="G7" s="4" t="n">
        <v>11</v>
      </c>
      <c r="H7" s="5" t="n">
        <f aca="false">IFERROR(E7/G7,0)</f>
        <v>147.609090909091</v>
      </c>
    </row>
    <row r="8" customFormat="false" ht="15" hidden="false" customHeight="false" outlineLevel="0" collapsed="false">
      <c r="A8" s="4" t="n">
        <v>4</v>
      </c>
      <c r="B8" s="4" t="s">
        <v>160</v>
      </c>
      <c r="C8" s="4" t="s">
        <v>161</v>
      </c>
      <c r="D8" s="4" t="s">
        <v>14</v>
      </c>
      <c r="E8" s="5" t="n">
        <v>1598.4</v>
      </c>
      <c r="F8" s="4" t="n">
        <v>16</v>
      </c>
      <c r="G8" s="4" t="n">
        <v>11</v>
      </c>
      <c r="H8" s="5" t="n">
        <f aca="false">IFERROR(E8/G8,0)</f>
        <v>145.309090909091</v>
      </c>
    </row>
    <row r="9" customFormat="false" ht="15" hidden="false" customHeight="false" outlineLevel="0" collapsed="false">
      <c r="A9" s="4" t="n">
        <v>5</v>
      </c>
      <c r="B9" s="4" t="s">
        <v>162</v>
      </c>
      <c r="C9" s="4" t="s">
        <v>163</v>
      </c>
      <c r="D9" s="4" t="s">
        <v>15</v>
      </c>
      <c r="E9" s="5" t="n">
        <v>269.7</v>
      </c>
      <c r="F9" s="4" t="n">
        <v>3</v>
      </c>
      <c r="G9" s="4" t="n">
        <v>3</v>
      </c>
      <c r="H9" s="5" t="n">
        <f aca="false">IFERROR(E9/G9,0)</f>
        <v>89.9</v>
      </c>
    </row>
    <row r="10" customFormat="false" ht="15" hidden="false" customHeight="false" outlineLevel="0" collapsed="false">
      <c r="A10" s="4" t="n">
        <v>6</v>
      </c>
      <c r="B10" s="4" t="s">
        <v>164</v>
      </c>
      <c r="C10" s="4" t="s">
        <v>165</v>
      </c>
      <c r="D10" s="4" t="s">
        <v>15</v>
      </c>
      <c r="E10" s="5" t="n">
        <v>199.6</v>
      </c>
      <c r="F10" s="4" t="n">
        <v>4</v>
      </c>
      <c r="G10" s="4" t="n">
        <v>1</v>
      </c>
      <c r="H10" s="5" t="n">
        <f aca="false">IFERROR(E10/G10,0)</f>
        <v>199.6</v>
      </c>
    </row>
    <row r="11" customFormat="false" ht="15" hidden="false" customHeight="false" outlineLevel="0" collapsed="false">
      <c r="A11" s="4" t="n">
        <v>7</v>
      </c>
      <c r="B11" s="4" t="s">
        <v>166</v>
      </c>
      <c r="C11" s="4" t="s">
        <v>167</v>
      </c>
      <c r="D11" s="4" t="s">
        <v>15</v>
      </c>
      <c r="E11" s="5" t="n">
        <v>99.9</v>
      </c>
      <c r="F11" s="4" t="n">
        <v>1</v>
      </c>
      <c r="G11" s="4" t="n">
        <v>1</v>
      </c>
      <c r="H11" s="5" t="n">
        <f aca="false">IFERROR(E11/G11,0)</f>
        <v>99.9</v>
      </c>
    </row>
    <row r="12" customFormat="false" ht="15" hidden="false" customHeight="false" outlineLevel="0" collapsed="false">
      <c r="A12" s="4" t="n">
        <v>8</v>
      </c>
      <c r="B12" s="4" t="s">
        <v>168</v>
      </c>
      <c r="C12" s="4" t="s">
        <v>169</v>
      </c>
      <c r="D12" s="4" t="s">
        <v>15</v>
      </c>
      <c r="E12" s="5" t="n">
        <v>99.9</v>
      </c>
      <c r="F12" s="4" t="n">
        <v>1</v>
      </c>
      <c r="G12" s="4" t="n">
        <v>1</v>
      </c>
      <c r="H12" s="5" t="n">
        <f aca="false">IFERROR(E12/G12,0)</f>
        <v>99.9</v>
      </c>
    </row>
    <row r="13" customFormat="false" ht="15" hidden="false" customHeight="false" outlineLevel="0" collapsed="false">
      <c r="A13" s="4" t="n">
        <v>9</v>
      </c>
      <c r="B13" s="4" t="s">
        <v>170</v>
      </c>
      <c r="C13" s="4" t="s">
        <v>171</v>
      </c>
      <c r="D13" s="4" t="s">
        <v>16</v>
      </c>
      <c r="E13" s="5" t="n">
        <v>89.7</v>
      </c>
      <c r="F13" s="4" t="n">
        <v>4</v>
      </c>
      <c r="G13" s="4" t="n">
        <v>4</v>
      </c>
      <c r="H13" s="5" t="n">
        <f aca="false">IFERROR(E13/G13,0)</f>
        <v>22.425</v>
      </c>
    </row>
    <row r="14" customFormat="false" ht="15" hidden="false" customHeight="false" outlineLevel="0" collapsed="false">
      <c r="A14" s="4" t="n">
        <v>10</v>
      </c>
      <c r="B14" s="4" t="s">
        <v>172</v>
      </c>
      <c r="C14" s="4" t="s">
        <v>173</v>
      </c>
      <c r="D14" s="4" t="s">
        <v>16</v>
      </c>
      <c r="E14" s="5" t="n">
        <v>29.9</v>
      </c>
      <c r="F14" s="4" t="n">
        <v>1</v>
      </c>
      <c r="G14" s="4" t="n">
        <v>1</v>
      </c>
      <c r="H14" s="5" t="n">
        <f aca="false">IFERROR(E14/G14,0)</f>
        <v>29.9</v>
      </c>
    </row>
    <row r="15" customFormat="false" ht="15" hidden="false" customHeight="false" outlineLevel="0" collapsed="false">
      <c r="A15" s="6" t="s">
        <v>17</v>
      </c>
      <c r="B15" s="11"/>
      <c r="C15" s="11"/>
      <c r="D15" s="11"/>
      <c r="E15" s="7" t="n">
        <f aca="false">SUM(E5:E14)</f>
        <v>10453.8</v>
      </c>
      <c r="F15" s="6" t="n">
        <f aca="false">SUM(F5:F14)</f>
        <v>117</v>
      </c>
      <c r="G15" s="6" t="n">
        <f aca="false">SUM(G5:G14)</f>
        <v>94</v>
      </c>
      <c r="H1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2026-08-11T13:07:18Z</dcterms:created>
  <dc:creator>openpyxl</dc:creator>
  <dc:description/>
  <dc:language>en-US</dc:language>
  <cp:lastModifiedBy/>
  <dcterms:modified xsi:type="dcterms:W3CDTF">2026-08-11T13:07:19Z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